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98F04BF9-F084-4E89-8AC7-832D8706F9ED}" xr6:coauthVersionLast="47" xr6:coauthVersionMax="47" xr10:uidLastSave="{00000000-0000-0000-0000-000000000000}"/>
  <bookViews>
    <workbookView xWindow="-108" yWindow="-108" windowWidth="23256" windowHeight="12576" tabRatio="941" xr2:uid="{00000000-000D-0000-FFFF-FFFF00000000}"/>
  </bookViews>
  <sheets>
    <sheet name="dVRK Aux IO" sheetId="42" r:id="rId1"/>
  </sheets>
  <definedNames>
    <definedName name="_xlnm.Print_Area" localSheetId="0">'dVRK Aux IO'!$A$4:$J$17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42" l="1"/>
  <c r="A9" i="42" s="1"/>
  <c r="A10" i="42" s="1"/>
  <c r="A11" i="42" s="1"/>
  <c r="A12" i="42" s="1"/>
  <c r="A13" i="42" s="1"/>
  <c r="A14" i="42" s="1"/>
  <c r="A15" i="42" s="1"/>
  <c r="A16" i="42" s="1"/>
  <c r="A17" i="42" s="1"/>
</calcChain>
</file>

<file path=xl/sharedStrings.xml><?xml version="1.0" encoding="utf-8"?>
<sst xmlns="http://schemas.openxmlformats.org/spreadsheetml/2006/main" count="84" uniqueCount="79">
  <si>
    <t>Notes:</t>
  </si>
  <si>
    <t>Unless specified otherwise, the only substitutions allowed are substituting identical part number parts from a different manufacturer.</t>
  </si>
  <si>
    <t>Seq</t>
  </si>
  <si>
    <t>Qty.</t>
  </si>
  <si>
    <t>Description</t>
  </si>
  <si>
    <t>Manufacturer</t>
  </si>
  <si>
    <t>Notes</t>
  </si>
  <si>
    <t>Manufacturer Part #</t>
  </si>
  <si>
    <t>Ref Des</t>
  </si>
  <si>
    <t>Package</t>
  </si>
  <si>
    <t>0603</t>
  </si>
  <si>
    <t>Generic</t>
  </si>
  <si>
    <t>0805</t>
  </si>
  <si>
    <t>SOT-23-6</t>
  </si>
  <si>
    <t>Kemet</t>
  </si>
  <si>
    <t>●</t>
  </si>
  <si>
    <t>Any component in an identical package that meets or exceeds all the parameters specified in the description can be substituted.</t>
  </si>
  <si>
    <t>Murata</t>
  </si>
  <si>
    <t>GRM188C81C106MA73D</t>
  </si>
  <si>
    <t>Bill Of Materials</t>
  </si>
  <si>
    <t>H10245-ND</t>
  </si>
  <si>
    <t>Hirose</t>
  </si>
  <si>
    <t>DF-11-6-RA</t>
  </si>
  <si>
    <t>DF11-6DP-2DS(24)</t>
  </si>
  <si>
    <t>CONN, RA, DF-11, 6-pin</t>
  </si>
  <si>
    <t>FPGA1394V3 I/O Board, Rev 1</t>
  </si>
  <si>
    <t>D1</t>
  </si>
  <si>
    <t>LED, Red, 0805</t>
  </si>
  <si>
    <t>J1</t>
  </si>
  <si>
    <t>J2</t>
  </si>
  <si>
    <t>R1-4</t>
  </si>
  <si>
    <t>R5</t>
  </si>
  <si>
    <t>U1</t>
  </si>
  <si>
    <t>U2</t>
  </si>
  <si>
    <t>MIC2091-1YM5-TR</t>
  </si>
  <si>
    <t>Microchip</t>
  </si>
  <si>
    <t>SOT-23-5</t>
  </si>
  <si>
    <t>SMS3.3.TCT</t>
  </si>
  <si>
    <t>IC, TVS Diode Array, 3.3V</t>
  </si>
  <si>
    <t>Semtech</t>
  </si>
  <si>
    <t>SMS3.3.TCTCT-ND</t>
  </si>
  <si>
    <t>IC, Power Switch, 100 mA</t>
  </si>
  <si>
    <t>576-3891-1-ND</t>
  </si>
  <si>
    <t>DB9F</t>
  </si>
  <si>
    <t>151-622-009-260-033-ND</t>
  </si>
  <si>
    <t>490-7198-1-ND</t>
  </si>
  <si>
    <t>CAP, 10uF, 20%, 16V, 0603</t>
  </si>
  <si>
    <t>C0603C104K4RACTU</t>
  </si>
  <si>
    <t>CAP, 0.1uF, 10%, 16V, X7R, 0603</t>
  </si>
  <si>
    <t>399-C0603C104K4RACTUCT-ND</t>
  </si>
  <si>
    <t>Digikey Part #</t>
  </si>
  <si>
    <t>JLCPCB Part #</t>
  </si>
  <si>
    <t>C2181816</t>
  </si>
  <si>
    <t>C182375</t>
  </si>
  <si>
    <t>C148025</t>
  </si>
  <si>
    <t>C780132</t>
  </si>
  <si>
    <t>C506666</t>
  </si>
  <si>
    <t>C844932</t>
  </si>
  <si>
    <t>RES, 50 Ohm, 1%, 1/8W, 0603</t>
  </si>
  <si>
    <t>CRCW060350R0FKEA</t>
  </si>
  <si>
    <t>Vishay Dale</t>
  </si>
  <si>
    <t xml:space="preserve">541-3318-1-ND </t>
  </si>
  <si>
    <t>C1608X7R1C105KT000N</t>
  </si>
  <si>
    <t>TDK</t>
  </si>
  <si>
    <t>445-1604-1-ND</t>
  </si>
  <si>
    <t>CAP, 1uF, 10%, 16V, X7R, 0603</t>
  </si>
  <si>
    <t>622-009-260-033</t>
  </si>
  <si>
    <t>EDAC</t>
  </si>
  <si>
    <t>C103675</t>
  </si>
  <si>
    <t>RES, 499 Ohm, 1%, 1/10W, 0603</t>
  </si>
  <si>
    <t>PCB, FPGA1394V3-IO (dVRK Aux I/O), Rev 1</t>
  </si>
  <si>
    <t>CONN, RA, DB9 Female, 0.318", 4-40 Screwlock</t>
  </si>
  <si>
    <t>C1</t>
  </si>
  <si>
    <t>C2-3</t>
  </si>
  <si>
    <t>C4</t>
  </si>
  <si>
    <t>C75749</t>
  </si>
  <si>
    <t>Yellow color may be substituted (JLCPCB #C2296)</t>
  </si>
  <si>
    <t>C2295</t>
  </si>
  <si>
    <t>C59782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</si>
</sst>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Continuous" vertical="top"/>
    </xf>
    <xf numFmtId="0" fontId="4" fillId="0" borderId="0" xfId="0" applyFont="1" applyAlignment="1">
      <alignment horizontal="centerContinuous" vertical="top"/>
    </xf>
    <xf numFmtId="0" fontId="0" fillId="0" borderId="0" xfId="0" applyFill="1"/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vertical="top" wrapText="1"/>
    </xf>
    <xf numFmtId="0" fontId="3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left" vertical="center"/>
    </xf>
    <xf numFmtId="0" fontId="1" fillId="0" borderId="0" xfId="0" applyFont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3" xfId="0" quotePrefix="1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"/>
  <sheetViews>
    <sheetView tabSelected="1" zoomScale="75" zoomScaleNormal="75" workbookViewId="0">
      <selection activeCell="K16" sqref="K16"/>
    </sheetView>
  </sheetViews>
  <sheetFormatPr defaultRowHeight="13.2" x14ac:dyDescent="0.25"/>
  <cols>
    <col min="1" max="1" width="5.44140625" style="5" customWidth="1"/>
    <col min="2" max="2" width="6.109375" customWidth="1"/>
    <col min="3" max="3" width="11.33203125" customWidth="1"/>
    <col min="4" max="4" width="47.77734375" customWidth="1"/>
    <col min="5" max="5" width="17.6640625" style="6" customWidth="1"/>
    <col min="6" max="6" width="16.33203125" customWidth="1"/>
    <col min="7" max="7" width="8.21875" style="8" customWidth="1"/>
    <col min="8" max="8" width="27.6640625" customWidth="1"/>
    <col min="9" max="9" width="34.88671875" customWidth="1"/>
    <col min="10" max="10" width="18.44140625" style="7" customWidth="1"/>
  </cols>
  <sheetData>
    <row r="1" spans="1:10" ht="29.85" customHeight="1" x14ac:dyDescent="0.4">
      <c r="A1" s="1"/>
      <c r="B1" s="2" t="s">
        <v>25</v>
      </c>
      <c r="C1" s="1"/>
      <c r="D1" s="1"/>
      <c r="E1" s="1"/>
      <c r="F1" s="3"/>
      <c r="G1" s="4"/>
      <c r="H1" s="1"/>
      <c r="I1" s="1"/>
      <c r="J1" s="1"/>
    </row>
    <row r="2" spans="1:10" ht="23.25" customHeight="1" x14ac:dyDescent="0.25">
      <c r="A2" s="1"/>
      <c r="B2" s="11" t="s">
        <v>19</v>
      </c>
      <c r="C2" s="1"/>
      <c r="D2" s="1"/>
      <c r="E2" s="1"/>
      <c r="F2" s="3"/>
      <c r="G2" s="4"/>
      <c r="H2" s="1"/>
      <c r="I2" s="1"/>
      <c r="J2" s="1"/>
    </row>
    <row r="3" spans="1:10" ht="25.5" customHeight="1" x14ac:dyDescent="0.25">
      <c r="A3" s="1"/>
      <c r="B3" s="10">
        <v>46083</v>
      </c>
      <c r="C3" s="1"/>
      <c r="D3" s="1"/>
      <c r="E3" s="1"/>
      <c r="F3" s="3"/>
      <c r="G3" s="4"/>
      <c r="H3" s="1"/>
      <c r="I3" s="1"/>
      <c r="J3" s="1"/>
    </row>
    <row r="4" spans="1:10" ht="29.7" customHeight="1" x14ac:dyDescent="0.25">
      <c r="A4" s="13"/>
      <c r="B4" s="14"/>
      <c r="C4" s="18"/>
      <c r="D4" s="12"/>
      <c r="E4" s="9"/>
      <c r="F4" s="15"/>
      <c r="G4" s="12"/>
      <c r="H4" s="12"/>
      <c r="I4" s="12"/>
      <c r="J4" s="16"/>
    </row>
    <row r="5" spans="1:10" ht="13.8" thickBot="1" x14ac:dyDescent="0.3">
      <c r="A5" s="14"/>
      <c r="B5" s="12"/>
      <c r="C5" s="12"/>
      <c r="D5" s="12"/>
      <c r="E5" s="15"/>
      <c r="F5" s="12"/>
      <c r="G5" s="17"/>
      <c r="H5" s="12"/>
      <c r="I5" s="12"/>
      <c r="J5" s="16"/>
    </row>
    <row r="6" spans="1:10" s="23" customFormat="1" ht="16.05" customHeight="1" thickBot="1" x14ac:dyDescent="0.3">
      <c r="A6" s="20" t="s">
        <v>2</v>
      </c>
      <c r="B6" s="21" t="s">
        <v>3</v>
      </c>
      <c r="C6" s="21" t="s">
        <v>8</v>
      </c>
      <c r="D6" s="21" t="s">
        <v>4</v>
      </c>
      <c r="E6" s="22" t="s">
        <v>9</v>
      </c>
      <c r="F6" s="21" t="s">
        <v>5</v>
      </c>
      <c r="G6" s="21" t="s">
        <v>6</v>
      </c>
      <c r="H6" s="21" t="s">
        <v>7</v>
      </c>
      <c r="I6" s="21" t="s">
        <v>50</v>
      </c>
      <c r="J6" s="21" t="s">
        <v>51</v>
      </c>
    </row>
    <row r="7" spans="1:10" s="32" customFormat="1" ht="16.05" customHeight="1" x14ac:dyDescent="0.25">
      <c r="A7" s="24">
        <v>1</v>
      </c>
      <c r="B7" s="25">
        <v>1</v>
      </c>
      <c r="C7" s="26" t="s">
        <v>72</v>
      </c>
      <c r="D7" s="27" t="s">
        <v>65</v>
      </c>
      <c r="E7" s="28" t="s">
        <v>10</v>
      </c>
      <c r="F7" s="29" t="s">
        <v>63</v>
      </c>
      <c r="G7" s="30">
        <v>1</v>
      </c>
      <c r="H7" s="31" t="s">
        <v>62</v>
      </c>
      <c r="I7" s="31" t="s">
        <v>64</v>
      </c>
      <c r="J7" s="31" t="s">
        <v>78</v>
      </c>
    </row>
    <row r="8" spans="1:10" s="32" customFormat="1" ht="16.05" customHeight="1" x14ac:dyDescent="0.25">
      <c r="A8" s="24">
        <f t="shared" ref="A8:A17" si="0">A7+1</f>
        <v>2</v>
      </c>
      <c r="B8" s="25">
        <v>2</v>
      </c>
      <c r="C8" s="26" t="s">
        <v>73</v>
      </c>
      <c r="D8" s="27" t="s">
        <v>46</v>
      </c>
      <c r="E8" s="28" t="s">
        <v>10</v>
      </c>
      <c r="F8" s="29" t="s">
        <v>17</v>
      </c>
      <c r="G8" s="30">
        <v>1</v>
      </c>
      <c r="H8" s="33" t="s">
        <v>18</v>
      </c>
      <c r="I8" s="27" t="s">
        <v>45</v>
      </c>
      <c r="J8" s="27" t="s">
        <v>53</v>
      </c>
    </row>
    <row r="9" spans="1:10" s="32" customFormat="1" ht="16.05" customHeight="1" x14ac:dyDescent="0.25">
      <c r="A9" s="24">
        <f t="shared" si="0"/>
        <v>3</v>
      </c>
      <c r="B9" s="25">
        <v>1</v>
      </c>
      <c r="C9" s="26" t="s">
        <v>74</v>
      </c>
      <c r="D9" s="27" t="s">
        <v>48</v>
      </c>
      <c r="E9" s="28" t="s">
        <v>10</v>
      </c>
      <c r="F9" s="29" t="s">
        <v>14</v>
      </c>
      <c r="G9" s="30">
        <v>1</v>
      </c>
      <c r="H9" s="33" t="s">
        <v>47</v>
      </c>
      <c r="I9" s="34" t="s">
        <v>49</v>
      </c>
      <c r="J9" s="27" t="s">
        <v>52</v>
      </c>
    </row>
    <row r="10" spans="1:10" s="32" customFormat="1" ht="16.05" customHeight="1" x14ac:dyDescent="0.25">
      <c r="A10" s="24">
        <f t="shared" si="0"/>
        <v>4</v>
      </c>
      <c r="B10" s="25">
        <v>1</v>
      </c>
      <c r="C10" s="26" t="s">
        <v>26</v>
      </c>
      <c r="D10" s="27" t="s">
        <v>27</v>
      </c>
      <c r="E10" s="28" t="s">
        <v>12</v>
      </c>
      <c r="F10" s="29" t="s">
        <v>11</v>
      </c>
      <c r="G10" s="30">
        <v>2</v>
      </c>
      <c r="H10" s="33"/>
      <c r="I10" s="27"/>
      <c r="J10" s="27" t="s">
        <v>77</v>
      </c>
    </row>
    <row r="11" spans="1:10" s="32" customFormat="1" ht="16.05" customHeight="1" x14ac:dyDescent="0.25">
      <c r="A11" s="24">
        <f t="shared" si="0"/>
        <v>5</v>
      </c>
      <c r="B11" s="25">
        <v>1</v>
      </c>
      <c r="C11" s="26" t="s">
        <v>28</v>
      </c>
      <c r="D11" s="27" t="s">
        <v>71</v>
      </c>
      <c r="E11" s="28" t="s">
        <v>43</v>
      </c>
      <c r="F11" s="29" t="s">
        <v>67</v>
      </c>
      <c r="G11" s="30">
        <v>1</v>
      </c>
      <c r="H11" s="34" t="s">
        <v>66</v>
      </c>
      <c r="I11" s="27" t="s">
        <v>44</v>
      </c>
      <c r="J11" s="27" t="s">
        <v>75</v>
      </c>
    </row>
    <row r="12" spans="1:10" s="32" customFormat="1" ht="16.05" customHeight="1" x14ac:dyDescent="0.25">
      <c r="A12" s="24">
        <f t="shared" si="0"/>
        <v>6</v>
      </c>
      <c r="B12" s="25">
        <v>1</v>
      </c>
      <c r="C12" s="26" t="s">
        <v>29</v>
      </c>
      <c r="D12" s="27" t="s">
        <v>24</v>
      </c>
      <c r="E12" s="27" t="s">
        <v>22</v>
      </c>
      <c r="F12" s="29" t="s">
        <v>21</v>
      </c>
      <c r="G12" s="35"/>
      <c r="H12" s="33" t="s">
        <v>23</v>
      </c>
      <c r="I12" s="27" t="s">
        <v>20</v>
      </c>
      <c r="J12" s="27" t="s">
        <v>56</v>
      </c>
    </row>
    <row r="13" spans="1:10" s="32" customFormat="1" ht="16.05" customHeight="1" x14ac:dyDescent="0.25">
      <c r="A13" s="24">
        <f t="shared" si="0"/>
        <v>7</v>
      </c>
      <c r="B13" s="25">
        <v>4</v>
      </c>
      <c r="C13" s="26" t="s">
        <v>30</v>
      </c>
      <c r="D13" s="27" t="s">
        <v>58</v>
      </c>
      <c r="E13" s="28" t="s">
        <v>10</v>
      </c>
      <c r="F13" s="29" t="s">
        <v>60</v>
      </c>
      <c r="G13" s="30">
        <v>1</v>
      </c>
      <c r="H13" s="33" t="s">
        <v>59</v>
      </c>
      <c r="I13" s="27" t="s">
        <v>61</v>
      </c>
      <c r="J13" s="27" t="s">
        <v>57</v>
      </c>
    </row>
    <row r="14" spans="1:10" s="32" customFormat="1" ht="16.05" customHeight="1" x14ac:dyDescent="0.25">
      <c r="A14" s="24">
        <f t="shared" si="0"/>
        <v>8</v>
      </c>
      <c r="B14" s="25">
        <v>1</v>
      </c>
      <c r="C14" s="26" t="s">
        <v>31</v>
      </c>
      <c r="D14" s="27" t="s">
        <v>69</v>
      </c>
      <c r="E14" s="28" t="s">
        <v>10</v>
      </c>
      <c r="F14" s="29" t="s">
        <v>11</v>
      </c>
      <c r="G14" s="30">
        <v>1</v>
      </c>
      <c r="H14" s="33"/>
      <c r="I14" s="27"/>
      <c r="J14" s="27" t="s">
        <v>68</v>
      </c>
    </row>
    <row r="15" spans="1:10" s="32" customFormat="1" ht="16.05" customHeight="1" x14ac:dyDescent="0.25">
      <c r="A15" s="24">
        <f t="shared" si="0"/>
        <v>9</v>
      </c>
      <c r="B15" s="25">
        <v>1</v>
      </c>
      <c r="C15" s="26" t="s">
        <v>32</v>
      </c>
      <c r="D15" s="27" t="s">
        <v>41</v>
      </c>
      <c r="E15" s="28" t="s">
        <v>36</v>
      </c>
      <c r="F15" s="27" t="s">
        <v>35</v>
      </c>
      <c r="G15" s="30"/>
      <c r="H15" s="27" t="s">
        <v>34</v>
      </c>
      <c r="I15" s="27" t="s">
        <v>42</v>
      </c>
      <c r="J15" s="27" t="s">
        <v>54</v>
      </c>
    </row>
    <row r="16" spans="1:10" s="32" customFormat="1" ht="16.05" customHeight="1" x14ac:dyDescent="0.25">
      <c r="A16" s="24">
        <f t="shared" si="0"/>
        <v>10</v>
      </c>
      <c r="B16" s="25">
        <v>1</v>
      </c>
      <c r="C16" s="26" t="s">
        <v>33</v>
      </c>
      <c r="D16" s="27" t="s">
        <v>38</v>
      </c>
      <c r="E16" s="36" t="s">
        <v>13</v>
      </c>
      <c r="F16" s="27" t="s">
        <v>39</v>
      </c>
      <c r="G16" s="30"/>
      <c r="H16" s="31" t="s">
        <v>37</v>
      </c>
      <c r="I16" s="27" t="s">
        <v>40</v>
      </c>
      <c r="J16" s="27" t="s">
        <v>55</v>
      </c>
    </row>
    <row r="17" spans="1:10" s="32" customFormat="1" ht="16.05" customHeight="1" thickBot="1" x14ac:dyDescent="0.3">
      <c r="A17" s="37">
        <f t="shared" si="0"/>
        <v>11</v>
      </c>
      <c r="B17" s="37">
        <v>1</v>
      </c>
      <c r="C17" s="38"/>
      <c r="D17" s="39" t="s">
        <v>70</v>
      </c>
      <c r="E17" s="40"/>
      <c r="F17" s="39"/>
      <c r="G17" s="41"/>
      <c r="H17" s="38"/>
      <c r="I17" s="39"/>
      <c r="J17" s="39"/>
    </row>
    <row r="18" spans="1:10" s="46" customFormat="1" ht="16.05" customHeight="1" x14ac:dyDescent="0.25">
      <c r="A18" s="42"/>
      <c r="B18" s="34"/>
      <c r="C18" s="34"/>
      <c r="D18" s="34"/>
      <c r="E18" s="43"/>
      <c r="F18" s="34"/>
      <c r="G18" s="44"/>
      <c r="H18" s="34"/>
      <c r="I18" s="34"/>
      <c r="J18" s="45"/>
    </row>
    <row r="19" spans="1:10" s="46" customFormat="1" ht="16.05" customHeight="1" x14ac:dyDescent="0.25">
      <c r="A19" s="42"/>
      <c r="B19" s="34"/>
      <c r="C19" s="34"/>
      <c r="D19" s="34"/>
      <c r="E19" s="43"/>
      <c r="F19" s="34"/>
      <c r="G19" s="44"/>
      <c r="H19" s="34"/>
      <c r="I19" s="34"/>
      <c r="J19" s="45"/>
    </row>
    <row r="20" spans="1:10" s="46" customFormat="1" ht="16.05" customHeight="1" x14ac:dyDescent="0.25">
      <c r="A20" s="47" t="s">
        <v>0</v>
      </c>
      <c r="B20" s="34"/>
      <c r="C20" s="34"/>
      <c r="D20" s="34"/>
      <c r="E20" s="43"/>
      <c r="F20" s="34"/>
      <c r="G20" s="44"/>
      <c r="H20" s="34"/>
      <c r="I20" s="34"/>
      <c r="J20" s="45"/>
    </row>
    <row r="21" spans="1:10" s="46" customFormat="1" ht="16.05" customHeight="1" x14ac:dyDescent="0.25">
      <c r="A21" s="47"/>
      <c r="B21" s="44" t="s">
        <v>15</v>
      </c>
      <c r="C21" s="48" t="s">
        <v>1</v>
      </c>
      <c r="D21" s="48"/>
      <c r="E21" s="48"/>
      <c r="F21" s="48"/>
      <c r="G21" s="48"/>
      <c r="H21" s="48"/>
      <c r="I21" s="34"/>
      <c r="J21" s="45"/>
    </row>
    <row r="22" spans="1:10" s="46" customFormat="1" ht="16.05" customHeight="1" x14ac:dyDescent="0.25">
      <c r="A22" s="42"/>
      <c r="B22" s="44">
        <v>1</v>
      </c>
      <c r="C22" s="48" t="s">
        <v>16</v>
      </c>
      <c r="D22" s="48"/>
      <c r="E22" s="48"/>
      <c r="F22" s="48"/>
      <c r="G22" s="48"/>
      <c r="H22" s="48"/>
      <c r="I22" s="34"/>
      <c r="J22" s="45"/>
    </row>
    <row r="23" spans="1:10" s="46" customFormat="1" ht="16.05" customHeight="1" x14ac:dyDescent="0.25">
      <c r="A23" s="42"/>
      <c r="B23" s="44">
        <v>2</v>
      </c>
      <c r="C23" s="34" t="s">
        <v>76</v>
      </c>
      <c r="D23" s="34"/>
      <c r="E23" s="43"/>
      <c r="F23" s="34"/>
      <c r="G23" s="44"/>
      <c r="H23" s="34"/>
      <c r="I23" s="34"/>
      <c r="J23" s="45"/>
    </row>
    <row r="24" spans="1:10" x14ac:dyDescent="0.25">
      <c r="B24" s="8"/>
      <c r="C24" s="19"/>
    </row>
    <row r="25" spans="1:10" x14ac:dyDescent="0.25">
      <c r="B25" s="8"/>
      <c r="C25" s="19"/>
    </row>
    <row r="26" spans="1:10" x14ac:dyDescent="0.25">
      <c r="B26" s="5"/>
    </row>
  </sheetData>
  <mergeCells count="2">
    <mergeCell ref="C21:H21"/>
    <mergeCell ref="C22:H22"/>
  </mergeCells>
  <phoneticPr fontId="7" type="noConversion"/>
  <pageMargins left="0.75" right="0.75" top="1" bottom="1" header="0.5" footer="0.5"/>
  <pageSetup scale="73" fitToHeight="2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dVRK Aux IO</vt:lpstr>
      <vt:lpstr>'dVRK Aux IO'!Print_Area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2023-01-25T21:57:44Z</dcterms:created>
  <dcterms:modified xsi:type="dcterms:W3CDTF">2026-03-03T03:16:02Z</dcterms:modified>
</cp:coreProperties>
</file>